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hartwell/PycharmProjects/VITRIFY/data/parameters_config/"/>
    </mc:Choice>
  </mc:AlternateContent>
  <xr:revisionPtr revIDLastSave="0" documentId="13_ncr:1_{4D359814-5DE9-3F42-9088-123D57C3BEBF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</calcChain>
</file>

<file path=xl/sharedStrings.xml><?xml version="1.0" encoding="utf-8"?>
<sst xmlns="http://schemas.openxmlformats.org/spreadsheetml/2006/main" count="181" uniqueCount="105">
  <si>
    <t>Category</t>
  </si>
  <si>
    <t>Key</t>
  </si>
  <si>
    <t>Value</t>
  </si>
  <si>
    <t>Description</t>
  </si>
  <si>
    <t>Material Dimensions &amp; Physical Properties</t>
  </si>
  <si>
    <t>Material Emission Factors</t>
  </si>
  <si>
    <t>Miscellaneous</t>
  </si>
  <si>
    <t>Process Emission Factors</t>
  </si>
  <si>
    <t>Process Yields &amp; Losses</t>
  </si>
  <si>
    <t>Recycling &amp; Credits</t>
  </si>
  <si>
    <t>Stillage &amp; Logistics</t>
  </si>
  <si>
    <t>System Configuration</t>
  </si>
  <si>
    <t>Transport Settings</t>
  </si>
  <si>
    <t>General Settings</t>
  </si>
  <si>
    <t>DECIMALS</t>
  </si>
  <si>
    <t>GLASS_DENSITY_KG_M3</t>
  </si>
  <si>
    <t>MASS_PER_M2_DOUBLE</t>
  </si>
  <si>
    <t>MASS_PER_M2_SINGLE</t>
  </si>
  <si>
    <t>MASS_PER_M2_TRIPLE</t>
  </si>
  <si>
    <t>SEALANT_DENSITY_KG_M3</t>
  </si>
  <si>
    <t>SPACER_MASS_PER_M_KG</t>
  </si>
  <si>
    <t>EF_MAT_GLASS_100RC</t>
  </si>
  <si>
    <t>EF_MAT_GLASS_VIRGIN</t>
  </si>
  <si>
    <t>EF_MAT_PVB</t>
  </si>
  <si>
    <t>EF_MAT_SEALANT</t>
  </si>
  <si>
    <t>EF_MAT_SPACER_ALU</t>
  </si>
  <si>
    <t>EF_MAT_SPACER_STEEL</t>
  </si>
  <si>
    <t>EF_MAT_SPACER_SWISS</t>
  </si>
  <si>
    <t>EF_PROCESS_COATING</t>
  </si>
  <si>
    <t>EF_PROCESS_LAMINATING</t>
  </si>
  <si>
    <t>EF_PROCESS_TOUGHENING</t>
  </si>
  <si>
    <t>MAX_TRUCK_LOAD_KG</t>
  </si>
  <si>
    <t>BREAKING_KGCO2_PER_M2</t>
  </si>
  <si>
    <t>DISASSEMBLY_KGCO2_PER_M2</t>
  </si>
  <si>
    <t>E_SITE_KGCO2_PER_M2</t>
  </si>
  <si>
    <t>INSTALL_SYSTEM_KGCO2_PER_M2</t>
  </si>
  <si>
    <t>PROCESS_ENERGY_ASSEMBLY_KGCO2_PER_M2</t>
  </si>
  <si>
    <t>RECONDITION_KGCO2_PER_M2</t>
  </si>
  <si>
    <t>REMANUFACTURING_KGCO2_PER_M2</t>
  </si>
  <si>
    <t>REPAIR_KGCO2_PER_M2</t>
  </si>
  <si>
    <t>REPURPOSE_HEAVY_KGCO2_PER_M2</t>
  </si>
  <si>
    <t>REPURPOSE_LIGHT_KGCO2_PER_M2</t>
  </si>
  <si>
    <t>REPURPOSE_MEDIUM_KGCO2_PER_M2</t>
  </si>
  <si>
    <t>BREAKAGE_RATE_GLOBAL</t>
  </si>
  <si>
    <t>HUMIDITY_FAILURE_RATE</t>
  </si>
  <si>
    <t>REMANUFACTURING_YIELD</t>
  </si>
  <si>
    <t>SPLIT_YIELD</t>
  </si>
  <si>
    <t>YIELD_DISASSEMBLY_REPURPOSE</t>
  </si>
  <si>
    <t>YIELD_DISASSEMBLY_REUSE</t>
  </si>
  <si>
    <t>YIELD_REPAIR</t>
  </si>
  <si>
    <t>SHARE_CULLET_FLOAT</t>
  </si>
  <si>
    <t>SHARE_CULLET_OPEN_LOOP_CONT</t>
  </si>
  <si>
    <t>SHARE_CULLET_OPEN_LOOP_GW</t>
  </si>
  <si>
    <t>IGUS_PER_STILLAGE</t>
  </si>
  <si>
    <t>INCLUDE_STILLAGE_EMBODIED</t>
  </si>
  <si>
    <t>STILLAGE_LIFETIME_CYCLES</t>
  </si>
  <si>
    <t>STILLAGE_MANUFACTURE_KGCO2</t>
  </si>
  <si>
    <t>STILLAGE_MASS_EMPTY_KG</t>
  </si>
  <si>
    <t>GEOCODER_USER_AGENT</t>
  </si>
  <si>
    <t>BACKHAUL_FACTOR</t>
  </si>
  <si>
    <t>DISTANCE_FALLBACK_A_KM</t>
  </si>
  <si>
    <t>DISTANCE_FALLBACK_B_KM</t>
  </si>
  <si>
    <t>EMISSIONFACTOR_FERRY</t>
  </si>
  <si>
    <t>EMISSIONFACTOR_TRUCK</t>
  </si>
  <si>
    <t>FERRY_CAPACITY_T</t>
  </si>
  <si>
    <t>ROUTE_A_MODE</t>
  </si>
  <si>
    <t>ROUTE_B_MODE</t>
  </si>
  <si>
    <t>TRUCK_CAPACITY_T</t>
  </si>
  <si>
    <t>Default IGU Service Lifetime (years)</t>
  </si>
  <si>
    <t>igu-reuse-tool/0.1 (CHANGE_THIS_TO_YOUR_EMAIL@DOMAIN)</t>
  </si>
  <si>
    <t>HGV lorry</t>
  </si>
  <si>
    <t>Parameter for logic calculation</t>
  </si>
  <si>
    <t>Density of glass (kg/m3)</t>
  </si>
  <si>
    <t>Density of sealant (kg/m3)</t>
  </si>
  <si>
    <t>Linear mass of spacer (kg/m)</t>
  </si>
  <si>
    <t>Embodied Carbon: 100% Recycled Glass (kgCO2e/kg)</t>
  </si>
  <si>
    <t>Embodied Carbon: Virgin Float Glass (kgCO2e/kg)</t>
  </si>
  <si>
    <t>Embodied Carbon: PVB Interlayer (kgCO2e/kg)</t>
  </si>
  <si>
    <t>Embodied Carbon: Generic Sealant (kgCO2e/kg)</t>
  </si>
  <si>
    <t>Emissions for disassembly process per m2</t>
  </si>
  <si>
    <t>Site energy emissions per m2</t>
  </si>
  <si>
    <t>Energy emission for IGU assembly per m2</t>
  </si>
  <si>
    <t>Emissions for remanufacturing process per m2</t>
  </si>
  <si>
    <t>Global breakage rate estimate (0.0-1.0)</t>
  </si>
  <si>
    <t>Rate of units failing humidity tests (0.0-1.0)</t>
  </si>
  <si>
    <t>Yield of remanufacturing acceptable components (0.0-1.0)</t>
  </si>
  <si>
    <t>Success rate of splitting panes (0.0-1.0)</t>
  </si>
  <si>
    <t>Yield loss during disassembly for repurpose (0.0-1.0)</t>
  </si>
  <si>
    <t>Backhaul adjustment factor (&gt;1.0)</t>
  </si>
  <si>
    <t>Default distance Origin-&gt;Processor (km)</t>
  </si>
  <si>
    <t>Default distance Processor-&gt;Reuse (km)</t>
  </si>
  <si>
    <t>Ferry emission factor (kgCO2e/tkm)</t>
  </si>
  <si>
    <t>Truck emission factor (kgCO2e/tkm)</t>
  </si>
  <si>
    <t>Default age assumption for IGUs at end-of-life</t>
  </si>
  <si>
    <t>FLOAT_GLASS_REPROCESSING</t>
  </si>
  <si>
    <t>Embodied Carbon: Reprocessing Flat Glass (kgCO2e/kg)</t>
  </si>
  <si>
    <t>Embodied Carbon: Aluminium Spacer (kgCO2e/linearmetre)</t>
  </si>
  <si>
    <t>Yield loss during disassembly for component reuse (0.0-1.0)</t>
  </si>
  <si>
    <t>YIELD_SYSTEM_REUSE</t>
  </si>
  <si>
    <t>Yield loss associated with system reuse (0.0-1.0)</t>
  </si>
  <si>
    <t>Yield loss during repair process for system repair (0.0-1.0)</t>
  </si>
  <si>
    <t>Parameter for logic calculation - used for reconditioning components</t>
  </si>
  <si>
    <t>YIELD_DISASSEMBLY_REMANUFACTURE</t>
  </si>
  <si>
    <t>Yield loss during disassembly for remanufacture (0.0-1.0)</t>
  </si>
  <si>
    <t>Parameter for logic calculation (kgCO2/cavity Argon fill)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</si>
</sst>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9"/>
  <sheetViews>
    <sheetView tabSelected="1" zoomScale="106" workbookViewId="0">
      <selection activeCell="G15" sqref="G15"/>
    </sheetView>
  </sheetViews>
  <sheetFormatPr baseColWidth="10" defaultColWidth="8.83203125" defaultRowHeight="15" x14ac:dyDescent="0.2"/>
  <cols>
    <col min="1" max="1" width="33.6640625" bestFit="1" customWidth="1"/>
    <col min="2" max="2" width="37" bestFit="1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t="s">
        <v>4</v>
      </c>
      <c r="B2" t="s">
        <v>14</v>
      </c>
      <c r="C2">
        <v>2</v>
      </c>
      <c r="D2" t="s">
        <v>71</v>
      </c>
    </row>
    <row r="3" spans="1:4" x14ac:dyDescent="0.2">
      <c r="A3" t="s">
        <v>4</v>
      </c>
      <c r="B3" t="s">
        <v>15</v>
      </c>
      <c r="C3">
        <v>2500</v>
      </c>
      <c r="D3" t="s">
        <v>72</v>
      </c>
    </row>
    <row r="4" spans="1:4" x14ac:dyDescent="0.2">
      <c r="A4" t="s">
        <v>4</v>
      </c>
      <c r="B4" t="s">
        <v>16</v>
      </c>
      <c r="C4">
        <v>20</v>
      </c>
      <c r="D4" t="s">
        <v>71</v>
      </c>
    </row>
    <row r="5" spans="1:4" x14ac:dyDescent="0.2">
      <c r="A5" t="s">
        <v>4</v>
      </c>
      <c r="B5" t="s">
        <v>17</v>
      </c>
      <c r="C5">
        <v>10</v>
      </c>
      <c r="D5" t="s">
        <v>71</v>
      </c>
    </row>
    <row r="6" spans="1:4" x14ac:dyDescent="0.2">
      <c r="A6" t="s">
        <v>4</v>
      </c>
      <c r="B6" t="s">
        <v>18</v>
      </c>
      <c r="C6">
        <v>30</v>
      </c>
      <c r="D6" t="s">
        <v>71</v>
      </c>
    </row>
    <row r="7" spans="1:4" x14ac:dyDescent="0.2">
      <c r="A7" t="s">
        <v>4</v>
      </c>
      <c r="B7" t="s">
        <v>19</v>
      </c>
      <c r="C7">
        <v>1400</v>
      </c>
      <c r="D7" t="s">
        <v>73</v>
      </c>
    </row>
    <row r="8" spans="1:4" x14ac:dyDescent="0.2">
      <c r="A8" t="s">
        <v>4</v>
      </c>
      <c r="B8" t="s">
        <v>20</v>
      </c>
      <c r="C8">
        <v>6.4799999999999996E-2</v>
      </c>
      <c r="D8" t="s">
        <v>74</v>
      </c>
    </row>
    <row r="9" spans="1:4" x14ac:dyDescent="0.2">
      <c r="A9" t="s">
        <v>5</v>
      </c>
      <c r="B9" t="s">
        <v>21</v>
      </c>
      <c r="C9">
        <v>0.77</v>
      </c>
      <c r="D9" t="s">
        <v>75</v>
      </c>
    </row>
    <row r="10" spans="1:4" x14ac:dyDescent="0.2">
      <c r="A10" t="s">
        <v>5</v>
      </c>
      <c r="B10" t="s">
        <v>22</v>
      </c>
      <c r="C10">
        <v>1.29</v>
      </c>
      <c r="D10" t="s">
        <v>76</v>
      </c>
    </row>
    <row r="11" spans="1:4" x14ac:dyDescent="0.2">
      <c r="A11" t="s">
        <v>5</v>
      </c>
      <c r="B11" t="s">
        <v>23</v>
      </c>
      <c r="C11">
        <v>4.6829999999999998</v>
      </c>
      <c r="D11" t="s">
        <v>77</v>
      </c>
    </row>
    <row r="12" spans="1:4" x14ac:dyDescent="0.2">
      <c r="A12" t="s">
        <v>5</v>
      </c>
      <c r="B12" t="s">
        <v>24</v>
      </c>
      <c r="C12">
        <v>3.51</v>
      </c>
      <c r="D12" t="s">
        <v>78</v>
      </c>
    </row>
    <row r="13" spans="1:4" x14ac:dyDescent="0.2">
      <c r="A13" t="s">
        <v>5</v>
      </c>
      <c r="B13" t="s">
        <v>25</v>
      </c>
      <c r="C13">
        <v>0.56999999999999995</v>
      </c>
      <c r="D13" t="s">
        <v>96</v>
      </c>
    </row>
    <row r="14" spans="1:4" x14ac:dyDescent="0.2">
      <c r="A14" t="s">
        <v>5</v>
      </c>
      <c r="B14" t="s">
        <v>26</v>
      </c>
      <c r="C14">
        <v>0.17</v>
      </c>
      <c r="D14" t="s">
        <v>96</v>
      </c>
    </row>
    <row r="15" spans="1:4" x14ac:dyDescent="0.2">
      <c r="A15" t="s">
        <v>5</v>
      </c>
      <c r="B15" t="s">
        <v>27</v>
      </c>
      <c r="C15">
        <v>0.14000000000000001</v>
      </c>
      <c r="D15" t="s">
        <v>96</v>
      </c>
    </row>
    <row r="16" spans="1:4" x14ac:dyDescent="0.2">
      <c r="A16" t="s">
        <v>6</v>
      </c>
      <c r="B16" t="s">
        <v>28</v>
      </c>
      <c r="C16">
        <v>0.27</v>
      </c>
      <c r="D16" t="s">
        <v>71</v>
      </c>
    </row>
    <row r="17" spans="1:4" x14ac:dyDescent="0.2">
      <c r="A17" t="s">
        <v>6</v>
      </c>
      <c r="B17" t="s">
        <v>29</v>
      </c>
      <c r="C17">
        <v>0.3</v>
      </c>
      <c r="D17" t="s">
        <v>71</v>
      </c>
    </row>
    <row r="18" spans="1:4" x14ac:dyDescent="0.2">
      <c r="A18" t="s">
        <v>6</v>
      </c>
      <c r="B18" t="s">
        <v>30</v>
      </c>
      <c r="C18">
        <v>0.39</v>
      </c>
      <c r="D18" t="s">
        <v>71</v>
      </c>
    </row>
    <row r="19" spans="1:4" x14ac:dyDescent="0.2">
      <c r="A19" t="s">
        <v>6</v>
      </c>
      <c r="B19" t="s">
        <v>31</v>
      </c>
      <c r="C19">
        <v>24000</v>
      </c>
      <c r="D19" t="s">
        <v>71</v>
      </c>
    </row>
    <row r="20" spans="1:4" x14ac:dyDescent="0.2">
      <c r="A20" t="s">
        <v>7</v>
      </c>
      <c r="B20" t="s">
        <v>32</v>
      </c>
      <c r="C20">
        <v>0.05</v>
      </c>
      <c r="D20" t="s">
        <v>71</v>
      </c>
    </row>
    <row r="21" spans="1:4" x14ac:dyDescent="0.2">
      <c r="A21" t="s">
        <v>7</v>
      </c>
      <c r="B21" t="s">
        <v>33</v>
      </c>
      <c r="C21">
        <v>1</v>
      </c>
      <c r="D21" t="s">
        <v>79</v>
      </c>
    </row>
    <row r="22" spans="1:4" x14ac:dyDescent="0.2">
      <c r="A22" t="s">
        <v>7</v>
      </c>
      <c r="B22" t="s">
        <v>34</v>
      </c>
      <c r="C22">
        <v>0.15</v>
      </c>
      <c r="D22" t="s">
        <v>80</v>
      </c>
    </row>
    <row r="23" spans="1:4" x14ac:dyDescent="0.2">
      <c r="A23" t="s">
        <v>7</v>
      </c>
      <c r="B23" t="s">
        <v>35</v>
      </c>
      <c r="C23">
        <v>0.15</v>
      </c>
      <c r="D23" t="s">
        <v>71</v>
      </c>
    </row>
    <row r="24" spans="1:4" x14ac:dyDescent="0.2">
      <c r="A24" t="s">
        <v>7</v>
      </c>
      <c r="B24" t="s">
        <v>36</v>
      </c>
      <c r="C24">
        <v>1</v>
      </c>
      <c r="D24" t="s">
        <v>81</v>
      </c>
    </row>
    <row r="25" spans="1:4" x14ac:dyDescent="0.2">
      <c r="A25" t="s">
        <v>7</v>
      </c>
      <c r="B25" t="s">
        <v>37</v>
      </c>
      <c r="C25">
        <v>0.5</v>
      </c>
      <c r="D25" t="s">
        <v>101</v>
      </c>
    </row>
    <row r="26" spans="1:4" x14ac:dyDescent="0.2">
      <c r="A26" t="s">
        <v>7</v>
      </c>
      <c r="B26" t="s">
        <v>38</v>
      </c>
      <c r="C26">
        <v>1</v>
      </c>
      <c r="D26" t="s">
        <v>82</v>
      </c>
    </row>
    <row r="27" spans="1:4" x14ac:dyDescent="0.2">
      <c r="A27" t="s">
        <v>7</v>
      </c>
      <c r="B27" t="s">
        <v>39</v>
      </c>
      <c r="C27" s="2">
        <f>0.596*0.03</f>
        <v>1.788E-2</v>
      </c>
      <c r="D27" t="s">
        <v>104</v>
      </c>
    </row>
    <row r="28" spans="1:4" x14ac:dyDescent="0.2">
      <c r="A28" t="s">
        <v>7</v>
      </c>
      <c r="B28" t="s">
        <v>40</v>
      </c>
      <c r="C28">
        <v>1</v>
      </c>
      <c r="D28" t="s">
        <v>71</v>
      </c>
    </row>
    <row r="29" spans="1:4" x14ac:dyDescent="0.2">
      <c r="A29" t="s">
        <v>7</v>
      </c>
      <c r="B29" t="s">
        <v>41</v>
      </c>
      <c r="C29">
        <v>0.5</v>
      </c>
      <c r="D29" t="s">
        <v>71</v>
      </c>
    </row>
    <row r="30" spans="1:4" x14ac:dyDescent="0.2">
      <c r="A30" t="s">
        <v>7</v>
      </c>
      <c r="B30" t="s">
        <v>42</v>
      </c>
      <c r="C30">
        <v>0.75</v>
      </c>
      <c r="D30" t="s">
        <v>71</v>
      </c>
    </row>
    <row r="31" spans="1:4" x14ac:dyDescent="0.2">
      <c r="A31" t="s">
        <v>8</v>
      </c>
      <c r="B31" t="s">
        <v>43</v>
      </c>
      <c r="C31">
        <v>0.01</v>
      </c>
      <c r="D31" t="s">
        <v>83</v>
      </c>
    </row>
    <row r="32" spans="1:4" x14ac:dyDescent="0.2">
      <c r="A32" t="s">
        <v>8</v>
      </c>
      <c r="B32" t="s">
        <v>44</v>
      </c>
      <c r="C32">
        <v>0.02</v>
      </c>
      <c r="D32" t="s">
        <v>84</v>
      </c>
    </row>
    <row r="33" spans="1:4" x14ac:dyDescent="0.2">
      <c r="A33" t="s">
        <v>8</v>
      </c>
      <c r="B33" t="s">
        <v>45</v>
      </c>
      <c r="C33">
        <v>0.95</v>
      </c>
      <c r="D33" t="s">
        <v>85</v>
      </c>
    </row>
    <row r="34" spans="1:4" x14ac:dyDescent="0.2">
      <c r="A34" t="s">
        <v>8</v>
      </c>
      <c r="B34" t="s">
        <v>46</v>
      </c>
      <c r="C34">
        <v>0.9</v>
      </c>
      <c r="D34" t="s">
        <v>86</v>
      </c>
    </row>
    <row r="35" spans="1:4" x14ac:dyDescent="0.2">
      <c r="A35" t="s">
        <v>8</v>
      </c>
      <c r="B35" t="s">
        <v>98</v>
      </c>
      <c r="C35">
        <v>0.2</v>
      </c>
      <c r="D35" t="s">
        <v>99</v>
      </c>
    </row>
    <row r="36" spans="1:4" x14ac:dyDescent="0.2">
      <c r="A36" t="s">
        <v>8</v>
      </c>
      <c r="B36" t="s">
        <v>49</v>
      </c>
      <c r="C36">
        <v>0.1</v>
      </c>
      <c r="D36" t="s">
        <v>100</v>
      </c>
    </row>
    <row r="37" spans="1:4" x14ac:dyDescent="0.2">
      <c r="A37" t="s">
        <v>8</v>
      </c>
      <c r="B37" t="s">
        <v>48</v>
      </c>
      <c r="C37">
        <v>0.2</v>
      </c>
      <c r="D37" t="s">
        <v>97</v>
      </c>
    </row>
    <row r="38" spans="1:4" x14ac:dyDescent="0.2">
      <c r="A38" t="s">
        <v>8</v>
      </c>
      <c r="B38" t="s">
        <v>102</v>
      </c>
      <c r="C38">
        <v>0.1</v>
      </c>
      <c r="D38" t="s">
        <v>103</v>
      </c>
    </row>
    <row r="39" spans="1:4" x14ac:dyDescent="0.2">
      <c r="A39" t="s">
        <v>8</v>
      </c>
      <c r="B39" t="s">
        <v>47</v>
      </c>
      <c r="C39">
        <v>0.1</v>
      </c>
      <c r="D39" t="s">
        <v>87</v>
      </c>
    </row>
    <row r="40" spans="1:4" x14ac:dyDescent="0.2">
      <c r="A40" t="s">
        <v>9</v>
      </c>
      <c r="B40" t="s">
        <v>50</v>
      </c>
      <c r="C40">
        <v>0.8</v>
      </c>
      <c r="D40" t="s">
        <v>71</v>
      </c>
    </row>
    <row r="41" spans="1:4" x14ac:dyDescent="0.2">
      <c r="A41" t="s">
        <v>9</v>
      </c>
      <c r="B41" t="s">
        <v>51</v>
      </c>
      <c r="C41">
        <v>0.4</v>
      </c>
      <c r="D41" t="s">
        <v>71</v>
      </c>
    </row>
    <row r="42" spans="1:4" x14ac:dyDescent="0.2">
      <c r="A42" t="s">
        <v>9</v>
      </c>
      <c r="B42" t="s">
        <v>52</v>
      </c>
      <c r="C42">
        <v>0.4</v>
      </c>
      <c r="D42" t="s">
        <v>71</v>
      </c>
    </row>
    <row r="43" spans="1:4" x14ac:dyDescent="0.2">
      <c r="A43" t="s">
        <v>9</v>
      </c>
      <c r="B43" t="s">
        <v>94</v>
      </c>
      <c r="C43">
        <v>0.52</v>
      </c>
      <c r="D43" t="s">
        <v>95</v>
      </c>
    </row>
    <row r="44" spans="1:4" x14ac:dyDescent="0.2">
      <c r="A44" t="s">
        <v>10</v>
      </c>
      <c r="B44" t="s">
        <v>53</v>
      </c>
      <c r="C44">
        <v>10</v>
      </c>
      <c r="D44" t="s">
        <v>71</v>
      </c>
    </row>
    <row r="45" spans="1:4" x14ac:dyDescent="0.2">
      <c r="A45" t="s">
        <v>10</v>
      </c>
      <c r="B45" t="s">
        <v>54</v>
      </c>
      <c r="C45">
        <v>0</v>
      </c>
      <c r="D45" t="s">
        <v>71</v>
      </c>
    </row>
    <row r="46" spans="1:4" x14ac:dyDescent="0.2">
      <c r="A46" t="s">
        <v>10</v>
      </c>
      <c r="B46" t="s">
        <v>55</v>
      </c>
      <c r="C46">
        <v>1000</v>
      </c>
      <c r="D46" t="s">
        <v>71</v>
      </c>
    </row>
    <row r="47" spans="1:4" x14ac:dyDescent="0.2">
      <c r="A47" t="s">
        <v>10</v>
      </c>
      <c r="B47" t="s">
        <v>56</v>
      </c>
      <c r="C47">
        <v>150</v>
      </c>
      <c r="D47" t="s">
        <v>71</v>
      </c>
    </row>
    <row r="48" spans="1:4" x14ac:dyDescent="0.2">
      <c r="A48" t="s">
        <v>10</v>
      </c>
      <c r="B48" t="s">
        <v>57</v>
      </c>
      <c r="C48">
        <v>80</v>
      </c>
      <c r="D48" t="s">
        <v>71</v>
      </c>
    </row>
    <row r="49" spans="1:4" x14ac:dyDescent="0.2">
      <c r="A49" t="s">
        <v>11</v>
      </c>
      <c r="B49" t="s">
        <v>58</v>
      </c>
      <c r="C49" t="s">
        <v>69</v>
      </c>
      <c r="D49" t="s">
        <v>71</v>
      </c>
    </row>
    <row r="50" spans="1:4" x14ac:dyDescent="0.2">
      <c r="A50" t="s">
        <v>12</v>
      </c>
      <c r="B50" t="s">
        <v>59</v>
      </c>
      <c r="C50">
        <v>1.6</v>
      </c>
      <c r="D50" t="s">
        <v>88</v>
      </c>
    </row>
    <row r="51" spans="1:4" x14ac:dyDescent="0.2">
      <c r="A51" t="s">
        <v>12</v>
      </c>
      <c r="B51" t="s">
        <v>60</v>
      </c>
      <c r="C51">
        <v>50</v>
      </c>
      <c r="D51" t="s">
        <v>89</v>
      </c>
    </row>
    <row r="52" spans="1:4" x14ac:dyDescent="0.2">
      <c r="A52" t="s">
        <v>12</v>
      </c>
      <c r="B52" t="s">
        <v>61</v>
      </c>
      <c r="C52">
        <v>50</v>
      </c>
      <c r="D52" t="s">
        <v>90</v>
      </c>
    </row>
    <row r="53" spans="1:4" x14ac:dyDescent="0.2">
      <c r="A53" t="s">
        <v>12</v>
      </c>
      <c r="B53" t="s">
        <v>62</v>
      </c>
      <c r="C53">
        <v>1.4999999999999999E-2</v>
      </c>
      <c r="D53" t="s">
        <v>91</v>
      </c>
    </row>
    <row r="54" spans="1:4" x14ac:dyDescent="0.2">
      <c r="A54" t="s">
        <v>12</v>
      </c>
      <c r="B54" t="s">
        <v>63</v>
      </c>
      <c r="C54">
        <v>6.2E-2</v>
      </c>
      <c r="D54" t="s">
        <v>92</v>
      </c>
    </row>
    <row r="55" spans="1:4" x14ac:dyDescent="0.2">
      <c r="A55" t="s">
        <v>12</v>
      </c>
      <c r="B55" t="s">
        <v>64</v>
      </c>
      <c r="C55">
        <v>500</v>
      </c>
      <c r="D55" t="s">
        <v>71</v>
      </c>
    </row>
    <row r="56" spans="1:4" x14ac:dyDescent="0.2">
      <c r="A56" t="s">
        <v>12</v>
      </c>
      <c r="B56" t="s">
        <v>65</v>
      </c>
      <c r="C56" t="s">
        <v>70</v>
      </c>
      <c r="D56" t="s">
        <v>71</v>
      </c>
    </row>
    <row r="57" spans="1:4" x14ac:dyDescent="0.2">
      <c r="A57" t="s">
        <v>12</v>
      </c>
      <c r="B57" t="s">
        <v>66</v>
      </c>
      <c r="C57" t="s">
        <v>70</v>
      </c>
      <c r="D57" t="s">
        <v>71</v>
      </c>
    </row>
    <row r="58" spans="1:4" x14ac:dyDescent="0.2">
      <c r="A58" t="s">
        <v>12</v>
      </c>
      <c r="B58" t="s">
        <v>67</v>
      </c>
      <c r="C58">
        <v>24</v>
      </c>
      <c r="D58" t="s">
        <v>71</v>
      </c>
    </row>
    <row r="59" spans="1:4" x14ac:dyDescent="0.2">
      <c r="A59" t="s">
        <v>13</v>
      </c>
      <c r="B59" t="s">
        <v>68</v>
      </c>
      <c r="C59">
        <v>25</v>
      </c>
      <c r="D59" t="s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Rebecca Hartwell</cp:lastModifiedBy>
  <dcterms:created xsi:type="dcterms:W3CDTF">2025-12-15T16:36:57Z</dcterms:created>
  <dcterms:modified xsi:type="dcterms:W3CDTF">2026-02-05T08:39:34Z</dcterms:modified>
</cp:coreProperties>
</file>