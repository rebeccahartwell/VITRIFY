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artwell/PyCharmProject/VITRIFY/data/parameters_config/"/>
    </mc:Choice>
  </mc:AlternateContent>
  <xr:revisionPtr revIDLastSave="0" documentId="13_ncr:1_{507BF10A-90A9-4349-AA16-CC0A9438902E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1" l="1"/>
  <c r="C22" i="1"/>
  <c r="F28" i="1"/>
  <c r="C18" i="1"/>
  <c r="C28" i="1" l="1"/>
</calcChain>
</file>

<file path=xl/sharedStrings.xml><?xml version="1.0" encoding="utf-8"?>
<sst xmlns="http://schemas.openxmlformats.org/spreadsheetml/2006/main" count="200" uniqueCount="126">
  <si>
    <t>Category</t>
  </si>
  <si>
    <t>Key</t>
  </si>
  <si>
    <t>Value</t>
  </si>
  <si>
    <t>Description</t>
  </si>
  <si>
    <t>Material Dimensions &amp; Physical Properties</t>
  </si>
  <si>
    <t>Material Emission Factors</t>
  </si>
  <si>
    <t>Miscellaneous</t>
  </si>
  <si>
    <t>Process Emission Factors</t>
  </si>
  <si>
    <t>Process Yields &amp; Losses</t>
  </si>
  <si>
    <t>Recycling &amp; Credits</t>
  </si>
  <si>
    <t>Stillage &amp; Logistics</t>
  </si>
  <si>
    <t>System Configuration</t>
  </si>
  <si>
    <t>Transport Settings</t>
  </si>
  <si>
    <t>General Settings</t>
  </si>
  <si>
    <t>DECIMALS</t>
  </si>
  <si>
    <t>GLASS_DENSITY_KG_M3</t>
  </si>
  <si>
    <t>MASS_PER_M2_DOUBLE</t>
  </si>
  <si>
    <t>MASS_PER_M2_SINGLE</t>
  </si>
  <si>
    <t>MASS_PER_M2_TRIPLE</t>
  </si>
  <si>
    <t>SEALANT_DENSITY_KG_M3</t>
  </si>
  <si>
    <t>SPACER_MASS_PER_M_KG</t>
  </si>
  <si>
    <t>EF_MAT_GLASS_100RC</t>
  </si>
  <si>
    <t>EF_MAT_GLASS_VIRGIN</t>
  </si>
  <si>
    <t>EF_MAT_PVB</t>
  </si>
  <si>
    <t>EF_MAT_SEALANT</t>
  </si>
  <si>
    <t>EF_MAT_SPACER_ALU</t>
  </si>
  <si>
    <t>EF_MAT_SPACER_STEEL</t>
  </si>
  <si>
    <t>EF_MAT_SPACER_SWISS</t>
  </si>
  <si>
    <t>EF_PROCESS_COATING</t>
  </si>
  <si>
    <t>EF_PROCESS_LAMINATING</t>
  </si>
  <si>
    <t>EF_PROCESS_TOUGHENING</t>
  </si>
  <si>
    <t>MAX_TRUCK_LOAD_KG</t>
  </si>
  <si>
    <t>DISASSEMBLY_KGCO2_PER_M2</t>
  </si>
  <si>
    <t>E_SITE_KGCO2_PER_M2</t>
  </si>
  <si>
    <t>INSTALL_SYSTEM_KGCO2_PER_M2</t>
  </si>
  <si>
    <t>PROCESS_ENERGY_ASSEMBLY_KGCO2_PER_M2</t>
  </si>
  <si>
    <t>RECONDITION_KGCO2_PER_M2</t>
  </si>
  <si>
    <t>REMANUFACTURING_KGCO2_PER_M2</t>
  </si>
  <si>
    <t>REPAIR_KGCO2_PER_M2</t>
  </si>
  <si>
    <t>REPURPOSE_HEAVY_KGCO2_PER_M2</t>
  </si>
  <si>
    <t>REPURPOSE_LIGHT_KGCO2_PER_M2</t>
  </si>
  <si>
    <t>REPURPOSE_MEDIUM_KGCO2_PER_M2</t>
  </si>
  <si>
    <t>BREAKAGE_RATE_GLOBAL</t>
  </si>
  <si>
    <t>HUMIDITY_FAILURE_RATE</t>
  </si>
  <si>
    <t>REMANUFACTURING_YIELD</t>
  </si>
  <si>
    <t>SPLIT_YIELD</t>
  </si>
  <si>
    <t>YIELD_DISASSEMBLY_REPURPOSE</t>
  </si>
  <si>
    <t>YIELD_DISASSEMBLY_REUSE</t>
  </si>
  <si>
    <t>YIELD_REPAIR</t>
  </si>
  <si>
    <t>SHARE_CULLET_FLOAT</t>
  </si>
  <si>
    <t>SHARE_CULLET_OPEN_LOOP_CONT</t>
  </si>
  <si>
    <t>SHARE_CULLET_OPEN_LOOP_GW</t>
  </si>
  <si>
    <t>IGUS_PER_STILLAGE</t>
  </si>
  <si>
    <t>INCLUDE_STILLAGE_EMBODIED</t>
  </si>
  <si>
    <t>STILLAGE_LIFETIME_CYCLES</t>
  </si>
  <si>
    <t>STILLAGE_MANUFACTURE_KGCO2</t>
  </si>
  <si>
    <t>STILLAGE_MASS_EMPTY_KG</t>
  </si>
  <si>
    <t>GEOCODER_USER_AGENT</t>
  </si>
  <si>
    <t>BACKHAUL_FACTOR</t>
  </si>
  <si>
    <t>DISTANCE_FALLBACK_A_KM</t>
  </si>
  <si>
    <t>DISTANCE_FALLBACK_B_KM</t>
  </si>
  <si>
    <t>EMISSIONFACTOR_FERRY</t>
  </si>
  <si>
    <t>EMISSIONFACTOR_TRUCK</t>
  </si>
  <si>
    <t>FERRY_CAPACITY_T</t>
  </si>
  <si>
    <t>ROUTE_A_MODE</t>
  </si>
  <si>
    <t>ROUTE_B_MODE</t>
  </si>
  <si>
    <t>TRUCK_CAPACITY_T</t>
  </si>
  <si>
    <t>Default IGU Service Lifetime (years)</t>
  </si>
  <si>
    <t>igu-reuse-tool/0.1 (CHANGE_THIS_TO_YOUR_EMAIL@DOMAIN)</t>
  </si>
  <si>
    <t>HGV lorry</t>
  </si>
  <si>
    <t>Parameter for logic calculation</t>
  </si>
  <si>
    <t>Density of glass (kg/m3)</t>
  </si>
  <si>
    <t>Density of sealant (kg/m3)</t>
  </si>
  <si>
    <t>Embodied Carbon: PVB Interlayer (kgCO2e/kg)</t>
  </si>
  <si>
    <t>Embodied Carbon: Generic Sealant (kgCO2e/kg)</t>
  </si>
  <si>
    <t>Emissions for disassembly process per m2</t>
  </si>
  <si>
    <t>Emissions for remanufacturing process per m2</t>
  </si>
  <si>
    <t>Global breakage rate estimate (0.0-1.0)</t>
  </si>
  <si>
    <t>Rate of units failing humidity tests (0.0-1.0)</t>
  </si>
  <si>
    <t>Yield of remanufacturing acceptable components (0.0-1.0)</t>
  </si>
  <si>
    <t>Success rate of splitting panes (0.0-1.0)</t>
  </si>
  <si>
    <t>Yield loss during disassembly for repurpose (0.0-1.0)</t>
  </si>
  <si>
    <t>Backhaul adjustment factor (&gt;1.0)</t>
  </si>
  <si>
    <t>Default distance Origin-&gt;Processor (km)</t>
  </si>
  <si>
    <t>Default distance Processor-&gt;Reuse (km)</t>
  </si>
  <si>
    <t>Ferry emission factor (kgCO2e/tkm)</t>
  </si>
  <si>
    <t>Truck emission factor (kgCO2e/tkm)</t>
  </si>
  <si>
    <t>Default age assumption for IGUs at end-of-life</t>
  </si>
  <si>
    <t>FLOAT_GLASS_REPROCESSING</t>
  </si>
  <si>
    <t>Embodied Carbon: Reprocessing Flat Glass (kgCO2e/kg)</t>
  </si>
  <si>
    <t>Embodied Carbon: Aluminium Spacer (kgCO2e/linearmetre)</t>
  </si>
  <si>
    <t>Yield loss during disassembly for component reuse (0.0-1.0)</t>
  </si>
  <si>
    <t>YIELD_SYSTEM_REUSE</t>
  </si>
  <si>
    <t>Yield loss associated with system reuse (0.0-1.0)</t>
  </si>
  <si>
    <t>Yield loss during repair process for system repair (0.0-1.0)</t>
  </si>
  <si>
    <t>Parameter for logic calculation - used for reconditioning components</t>
  </si>
  <si>
    <t>YIELD_DISASSEMBLY_REMANUFACTURE</t>
  </si>
  <si>
    <t>Yield loss during disassembly for remanufacture (0.0-1.0)</t>
  </si>
  <si>
    <t>Parameter for logic calculation (kgCO2/cavity Argon fill)</t>
  </si>
  <si>
    <t>Reference</t>
  </si>
  <si>
    <t>Parameter for logic calculation - implemented when undefined by user</t>
  </si>
  <si>
    <t>Assumption based on average of poly-isobutylene, polysulfide</t>
  </si>
  <si>
    <t>Linear mass of Aluminium spacer (kg/m) - material-based masses are converted based on user-input</t>
  </si>
  <si>
    <t xml:space="preserve">EPD: EPD-IES-13054:001 </t>
  </si>
  <si>
    <t>EPD-IES-0025026 Everlam PVB</t>
  </si>
  <si>
    <t>EPD-IES-0011837:001</t>
  </si>
  <si>
    <t>Embodied Carbon: Swiss Spacer (kgCO2e/linearmetre)</t>
  </si>
  <si>
    <t>Embodied Carbon: Stainless Steel Spacer (kgCO2e/linearmetre)</t>
  </si>
  <si>
    <t>Embodied Carbon: A1-A3 for 100% Recycled Glass (kgCO2e/kg)</t>
  </si>
  <si>
    <t>Embodied Carbon: A1-A3 for Virgin Float Glass (kgCO2e/kg)</t>
  </si>
  <si>
    <t>Defra 2024 Default value. Can be changed by user</t>
  </si>
  <si>
    <t>https://link.springer.com/article/10.1007/s40940-022-00195-9</t>
  </si>
  <si>
    <t>Parameter for logic calculation - not yet used</t>
  </si>
  <si>
    <t>Saint Gobain Data - Magnetron coating</t>
  </si>
  <si>
    <t>Saint Gobain Data - Tempering process</t>
  </si>
  <si>
    <t>Saint Gobain Data - IGU manufacture</t>
  </si>
  <si>
    <t>Emissions associated with deconstruction / disassembly of IGU from construction site [per m2]</t>
  </si>
  <si>
    <t>Emissions associated with installation of IGU at construction site [per m2]</t>
  </si>
  <si>
    <t>BREAKING_KGCO2_PER_KG</t>
  </si>
  <si>
    <t>Argon gas filling (0.016 m3 @ 1.699 kg/m3 Argon)</t>
  </si>
  <si>
    <t>E_SITE_LANDFILL_KGCO2_PER_M2</t>
  </si>
  <si>
    <t>Emissions associated with demolition on construction site [per m2]</t>
  </si>
  <si>
    <t xml:space="preserve">[0.75 kgCO2/m2 GIA and 0.3:1.0 for FSA:GIA] from background report – demolition processes by Finnish environment institute https://co2data.fi/rakentaminen/#en_id7000001117 </t>
  </si>
  <si>
    <t>Emissions for IGU assembly/fabrication process per m2</t>
  </si>
  <si>
    <t>#20250343139 Wicona: GAMME WICLINE 65 NG - FENETRE / PORTE-FENETRE SUPERIEURE A 2,3m² – 1 VANTAILBased on A5 in Wicona | 10/03/2025 | En conformité avec la norme NF EN 15804+A2 et son complément national NF EN 15804+A2/CN</t>
  </si>
  <si>
    <t xml:space="preserve">[10 kgCO2/m2 GIA and 0.3:1.0 for FSA:GIA] from background report – deconstruction processes by Finnish environment institute https://co2data.fi/rakentaminen/#en_id7000001117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</si>
</sst>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 applyFill="1"/>
    <xf numFmtId="0" fontId="2" fillId="2" borderId="0" xfId="0" applyFont="1" applyFill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topLeftCell="A8" zoomScale="170" workbookViewId="0">
      <selection activeCell="D12" sqref="D12"/>
    </sheetView>
  </sheetViews>
  <sheetFormatPr baseColWidth="10" defaultColWidth="8.83203125" defaultRowHeight="15" x14ac:dyDescent="0.2"/>
  <cols>
    <col min="1" max="1" width="33.6640625" bestFit="1" customWidth="1"/>
    <col min="2" max="2" width="37" bestFit="1" customWidth="1"/>
    <col min="4" max="4" width="55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99</v>
      </c>
      <c r="F1" s="3"/>
    </row>
    <row r="2" spans="1:6" x14ac:dyDescent="0.2">
      <c r="A2" s="3" t="s">
        <v>4</v>
      </c>
      <c r="B2" s="3" t="s">
        <v>14</v>
      </c>
      <c r="C2" s="3">
        <v>2</v>
      </c>
      <c r="D2" s="3" t="s">
        <v>70</v>
      </c>
      <c r="E2" s="3"/>
      <c r="F2" s="3"/>
    </row>
    <row r="3" spans="1:6" x14ac:dyDescent="0.2">
      <c r="A3" s="3" t="s">
        <v>4</v>
      </c>
      <c r="B3" s="3" t="s">
        <v>15</v>
      </c>
      <c r="C3" s="3">
        <v>2500</v>
      </c>
      <c r="D3" s="3" t="s">
        <v>71</v>
      </c>
      <c r="E3" s="3"/>
      <c r="F3" s="3"/>
    </row>
    <row r="4" spans="1:6" x14ac:dyDescent="0.2">
      <c r="A4" s="3" t="s">
        <v>4</v>
      </c>
      <c r="B4" s="3" t="s">
        <v>16</v>
      </c>
      <c r="C4" s="3">
        <v>20</v>
      </c>
      <c r="D4" s="3" t="s">
        <v>100</v>
      </c>
      <c r="E4" s="3"/>
      <c r="F4" s="3"/>
    </row>
    <row r="5" spans="1:6" x14ac:dyDescent="0.2">
      <c r="A5" s="3" t="s">
        <v>4</v>
      </c>
      <c r="B5" s="3" t="s">
        <v>17</v>
      </c>
      <c r="C5" s="3">
        <v>10</v>
      </c>
      <c r="D5" s="3" t="s">
        <v>100</v>
      </c>
      <c r="E5" s="3"/>
      <c r="F5" s="3"/>
    </row>
    <row r="6" spans="1:6" x14ac:dyDescent="0.2">
      <c r="A6" s="3" t="s">
        <v>4</v>
      </c>
      <c r="B6" s="3" t="s">
        <v>18</v>
      </c>
      <c r="C6" s="3">
        <v>30</v>
      </c>
      <c r="D6" s="3" t="s">
        <v>100</v>
      </c>
      <c r="E6" s="3"/>
      <c r="F6" s="3"/>
    </row>
    <row r="7" spans="1:6" x14ac:dyDescent="0.2">
      <c r="A7" s="3" t="s">
        <v>4</v>
      </c>
      <c r="B7" s="3" t="s">
        <v>19</v>
      </c>
      <c r="C7" s="3">
        <v>1275</v>
      </c>
      <c r="D7" s="3" t="s">
        <v>72</v>
      </c>
      <c r="E7" s="3" t="s">
        <v>101</v>
      </c>
      <c r="F7" s="3"/>
    </row>
    <row r="8" spans="1:6" x14ac:dyDescent="0.2">
      <c r="A8" s="3" t="s">
        <v>4</v>
      </c>
      <c r="B8" s="3" t="s">
        <v>20</v>
      </c>
      <c r="C8" s="3">
        <v>7.0000000000000007E-2</v>
      </c>
      <c r="D8" s="3" t="s">
        <v>102</v>
      </c>
      <c r="E8" s="3"/>
      <c r="F8" s="3"/>
    </row>
    <row r="9" spans="1:6" x14ac:dyDescent="0.2">
      <c r="A9" s="3" t="s">
        <v>5</v>
      </c>
      <c r="B9" s="3" t="s">
        <v>21</v>
      </c>
      <c r="C9" s="3">
        <v>0.77</v>
      </c>
      <c r="D9" s="3" t="s">
        <v>108</v>
      </c>
      <c r="E9" s="3" t="s">
        <v>111</v>
      </c>
      <c r="F9" s="3"/>
    </row>
    <row r="10" spans="1:6" x14ac:dyDescent="0.2">
      <c r="A10" s="3" t="s">
        <v>5</v>
      </c>
      <c r="B10" s="3" t="s">
        <v>22</v>
      </c>
      <c r="C10" s="3">
        <v>1.29</v>
      </c>
      <c r="D10" s="3" t="s">
        <v>109</v>
      </c>
      <c r="E10" s="3" t="s">
        <v>111</v>
      </c>
      <c r="F10" s="3"/>
    </row>
    <row r="11" spans="1:6" x14ac:dyDescent="0.2">
      <c r="A11" s="3" t="s">
        <v>5</v>
      </c>
      <c r="B11" s="3" t="s">
        <v>23</v>
      </c>
      <c r="C11" s="3">
        <v>4.6829999999999998</v>
      </c>
      <c r="D11" s="3" t="s">
        <v>73</v>
      </c>
      <c r="E11" s="3" t="s">
        <v>104</v>
      </c>
      <c r="F11" s="3"/>
    </row>
    <row r="12" spans="1:6" x14ac:dyDescent="0.2">
      <c r="A12" s="3" t="s">
        <v>5</v>
      </c>
      <c r="B12" s="3" t="s">
        <v>24</v>
      </c>
      <c r="C12" s="3">
        <v>3.51</v>
      </c>
      <c r="D12" s="3" t="s">
        <v>74</v>
      </c>
      <c r="E12" s="3" t="s">
        <v>103</v>
      </c>
      <c r="F12" s="3"/>
    </row>
    <row r="13" spans="1:6" x14ac:dyDescent="0.2">
      <c r="A13" s="3" t="s">
        <v>5</v>
      </c>
      <c r="B13" s="3" t="s">
        <v>25</v>
      </c>
      <c r="C13" s="3">
        <v>0.56999999999999995</v>
      </c>
      <c r="D13" s="3" t="s">
        <v>90</v>
      </c>
      <c r="E13" s="3"/>
      <c r="F13" s="3"/>
    </row>
    <row r="14" spans="1:6" x14ac:dyDescent="0.2">
      <c r="A14" s="3" t="s">
        <v>5</v>
      </c>
      <c r="B14" s="3" t="s">
        <v>26</v>
      </c>
      <c r="C14" s="3">
        <v>0.17</v>
      </c>
      <c r="D14" s="3" t="s">
        <v>107</v>
      </c>
      <c r="E14" s="3"/>
      <c r="F14" s="3"/>
    </row>
    <row r="15" spans="1:6" x14ac:dyDescent="0.2">
      <c r="A15" s="3" t="s">
        <v>5</v>
      </c>
      <c r="B15" s="3" t="s">
        <v>27</v>
      </c>
      <c r="C15" s="3">
        <v>0.14000000000000001</v>
      </c>
      <c r="D15" s="3" t="s">
        <v>106</v>
      </c>
      <c r="E15" s="3" t="s">
        <v>105</v>
      </c>
      <c r="F15" s="3"/>
    </row>
    <row r="16" spans="1:6" x14ac:dyDescent="0.2">
      <c r="A16" s="3" t="s">
        <v>6</v>
      </c>
      <c r="B16" s="4" t="s">
        <v>28</v>
      </c>
      <c r="C16" s="3">
        <v>0.91</v>
      </c>
      <c r="D16" s="5" t="s">
        <v>112</v>
      </c>
      <c r="E16" s="3" t="s">
        <v>113</v>
      </c>
      <c r="F16" s="3"/>
    </row>
    <row r="17" spans="1:6" x14ac:dyDescent="0.2">
      <c r="A17" s="3" t="s">
        <v>6</v>
      </c>
      <c r="B17" s="4" t="s">
        <v>29</v>
      </c>
      <c r="C17" s="3">
        <v>0.3</v>
      </c>
      <c r="D17" s="5" t="s">
        <v>112</v>
      </c>
      <c r="E17" s="3"/>
      <c r="F17" s="3"/>
    </row>
    <row r="18" spans="1:6" x14ac:dyDescent="0.2">
      <c r="A18" s="3" t="s">
        <v>6</v>
      </c>
      <c r="B18" s="4" t="s">
        <v>30</v>
      </c>
      <c r="C18" s="3">
        <f>0.47/2.5</f>
        <v>0.188</v>
      </c>
      <c r="D18" s="5" t="s">
        <v>112</v>
      </c>
      <c r="E18" s="3" t="s">
        <v>114</v>
      </c>
      <c r="F18" s="3"/>
    </row>
    <row r="19" spans="1:6" x14ac:dyDescent="0.2">
      <c r="A19" s="3" t="s">
        <v>6</v>
      </c>
      <c r="B19" s="4" t="s">
        <v>31</v>
      </c>
      <c r="C19" s="3">
        <v>24000</v>
      </c>
      <c r="D19" s="3" t="s">
        <v>70</v>
      </c>
      <c r="E19" s="3"/>
      <c r="F19" s="3"/>
    </row>
    <row r="20" spans="1:6" x14ac:dyDescent="0.2">
      <c r="A20" s="3" t="s">
        <v>7</v>
      </c>
      <c r="B20" s="3" t="s">
        <v>118</v>
      </c>
      <c r="C20" s="3">
        <v>0</v>
      </c>
      <c r="D20" s="3" t="s">
        <v>70</v>
      </c>
      <c r="E20" s="3"/>
      <c r="F20" s="3"/>
    </row>
    <row r="21" spans="1:6" x14ac:dyDescent="0.2">
      <c r="A21" s="3" t="s">
        <v>7</v>
      </c>
      <c r="B21" s="4" t="s">
        <v>32</v>
      </c>
      <c r="C21" s="3">
        <v>0.03</v>
      </c>
      <c r="D21" s="3" t="s">
        <v>75</v>
      </c>
      <c r="E21" s="3"/>
      <c r="F21" s="3"/>
    </row>
    <row r="22" spans="1:6" x14ac:dyDescent="0.2">
      <c r="A22" s="3" t="s">
        <v>7</v>
      </c>
      <c r="B22" s="4" t="s">
        <v>33</v>
      </c>
      <c r="C22" s="3">
        <f>10*0.3</f>
        <v>3</v>
      </c>
      <c r="D22" s="3" t="s">
        <v>116</v>
      </c>
      <c r="E22" s="3" t="s">
        <v>125</v>
      </c>
      <c r="F22" s="3"/>
    </row>
    <row r="23" spans="1:6" x14ac:dyDescent="0.2">
      <c r="A23" s="3" t="s">
        <v>7</v>
      </c>
      <c r="B23" s="4" t="s">
        <v>120</v>
      </c>
      <c r="C23" s="3">
        <f>0.75*0.3</f>
        <v>0.22499999999999998</v>
      </c>
      <c r="D23" s="3" t="s">
        <v>121</v>
      </c>
      <c r="E23" s="3" t="s">
        <v>122</v>
      </c>
      <c r="F23" s="3"/>
    </row>
    <row r="24" spans="1:6" x14ac:dyDescent="0.2">
      <c r="A24" s="3" t="s">
        <v>7</v>
      </c>
      <c r="B24" s="4" t="s">
        <v>34</v>
      </c>
      <c r="C24" s="3">
        <v>2.96</v>
      </c>
      <c r="D24" s="3" t="s">
        <v>117</v>
      </c>
      <c r="E24" s="3" t="s">
        <v>124</v>
      </c>
      <c r="F24" s="3"/>
    </row>
    <row r="25" spans="1:6" x14ac:dyDescent="0.2">
      <c r="A25" s="3" t="s">
        <v>7</v>
      </c>
      <c r="B25" s="4" t="s">
        <v>35</v>
      </c>
      <c r="C25" s="3">
        <v>12</v>
      </c>
      <c r="D25" s="3" t="s">
        <v>123</v>
      </c>
      <c r="E25" s="3" t="s">
        <v>115</v>
      </c>
      <c r="F25" s="3"/>
    </row>
    <row r="26" spans="1:6" x14ac:dyDescent="0.2">
      <c r="A26" s="3" t="s">
        <v>7</v>
      </c>
      <c r="B26" s="4" t="s">
        <v>36</v>
      </c>
      <c r="C26" s="3">
        <v>0.02</v>
      </c>
      <c r="D26" s="3" t="s">
        <v>95</v>
      </c>
      <c r="E26" s="3"/>
      <c r="F26" s="3"/>
    </row>
    <row r="27" spans="1:6" x14ac:dyDescent="0.2">
      <c r="A27" s="3" t="s">
        <v>7</v>
      </c>
      <c r="B27" s="4" t="s">
        <v>37</v>
      </c>
      <c r="C27" s="3">
        <v>0</v>
      </c>
      <c r="D27" s="3" t="s">
        <v>76</v>
      </c>
      <c r="E27" s="3"/>
      <c r="F27" s="3"/>
    </row>
    <row r="28" spans="1:6" x14ac:dyDescent="0.2">
      <c r="A28" s="3" t="s">
        <v>7</v>
      </c>
      <c r="B28" s="4" t="s">
        <v>38</v>
      </c>
      <c r="C28" s="6">
        <f>0.596*0.03</f>
        <v>1.788E-2</v>
      </c>
      <c r="D28" s="3" t="s">
        <v>98</v>
      </c>
      <c r="E28" s="3" t="s">
        <v>119</v>
      </c>
      <c r="F28" s="3">
        <f>0.016*1.69</f>
        <v>2.7039999999999998E-2</v>
      </c>
    </row>
    <row r="29" spans="1:6" x14ac:dyDescent="0.2">
      <c r="A29" s="3" t="s">
        <v>7</v>
      </c>
      <c r="B29" s="4" t="s">
        <v>39</v>
      </c>
      <c r="C29" s="3">
        <v>0.1</v>
      </c>
      <c r="D29" s="3" t="s">
        <v>70</v>
      </c>
      <c r="E29" s="3"/>
      <c r="F29" s="3"/>
    </row>
    <row r="30" spans="1:6" x14ac:dyDescent="0.2">
      <c r="A30" s="3" t="s">
        <v>7</v>
      </c>
      <c r="B30" s="4" t="s">
        <v>40</v>
      </c>
      <c r="C30" s="3">
        <v>2.5000000000000001E-2</v>
      </c>
      <c r="D30" s="3" t="s">
        <v>70</v>
      </c>
      <c r="E30" s="3"/>
      <c r="F30" s="3"/>
    </row>
    <row r="31" spans="1:6" x14ac:dyDescent="0.2">
      <c r="A31" s="3" t="s">
        <v>7</v>
      </c>
      <c r="B31" s="4" t="s">
        <v>41</v>
      </c>
      <c r="C31" s="3">
        <v>0.05</v>
      </c>
      <c r="D31" s="3" t="s">
        <v>70</v>
      </c>
      <c r="E31" s="3"/>
      <c r="F31" s="3"/>
    </row>
    <row r="32" spans="1:6" x14ac:dyDescent="0.2">
      <c r="A32" s="3" t="s">
        <v>8</v>
      </c>
      <c r="B32" s="4" t="s">
        <v>42</v>
      </c>
      <c r="C32" s="3">
        <v>0</v>
      </c>
      <c r="D32" s="3" t="s">
        <v>77</v>
      </c>
      <c r="E32" s="3"/>
      <c r="F32" s="3"/>
    </row>
    <row r="33" spans="1:6" x14ac:dyDescent="0.2">
      <c r="A33" s="3" t="s">
        <v>8</v>
      </c>
      <c r="B33" s="4" t="s">
        <v>43</v>
      </c>
      <c r="C33" s="3">
        <v>0.02</v>
      </c>
      <c r="D33" s="3" t="s">
        <v>78</v>
      </c>
      <c r="E33" s="3"/>
      <c r="F33" s="3"/>
    </row>
    <row r="34" spans="1:6" x14ac:dyDescent="0.2">
      <c r="A34" s="3" t="s">
        <v>8</v>
      </c>
      <c r="B34" s="4" t="s">
        <v>44</v>
      </c>
      <c r="C34" s="3">
        <v>1</v>
      </c>
      <c r="D34" s="3" t="s">
        <v>79</v>
      </c>
      <c r="E34" s="3"/>
      <c r="F34" s="3"/>
    </row>
    <row r="35" spans="1:6" x14ac:dyDescent="0.2">
      <c r="A35" s="3" t="s">
        <v>8</v>
      </c>
      <c r="B35" s="3" t="s">
        <v>45</v>
      </c>
      <c r="C35" s="3">
        <v>1</v>
      </c>
      <c r="D35" s="3" t="s">
        <v>80</v>
      </c>
      <c r="E35" s="3"/>
      <c r="F35" s="3"/>
    </row>
    <row r="36" spans="1:6" x14ac:dyDescent="0.2">
      <c r="A36" s="3" t="s">
        <v>8</v>
      </c>
      <c r="B36" s="3" t="s">
        <v>92</v>
      </c>
      <c r="C36" s="3">
        <v>0.2</v>
      </c>
      <c r="D36" s="3" t="s">
        <v>93</v>
      </c>
      <c r="E36" s="3"/>
      <c r="F36" s="3"/>
    </row>
    <row r="37" spans="1:6" x14ac:dyDescent="0.2">
      <c r="A37" s="3" t="s">
        <v>8</v>
      </c>
      <c r="B37" s="3" t="s">
        <v>48</v>
      </c>
      <c r="C37" s="3">
        <v>0.1</v>
      </c>
      <c r="D37" s="3" t="s">
        <v>94</v>
      </c>
      <c r="E37" s="3"/>
      <c r="F37" s="3"/>
    </row>
    <row r="38" spans="1:6" x14ac:dyDescent="0.2">
      <c r="A38" s="3" t="s">
        <v>8</v>
      </c>
      <c r="B38" s="3" t="s">
        <v>47</v>
      </c>
      <c r="C38" s="3">
        <v>0.2</v>
      </c>
      <c r="D38" s="3" t="s">
        <v>91</v>
      </c>
      <c r="E38" s="3"/>
      <c r="F38" s="3"/>
    </row>
    <row r="39" spans="1:6" x14ac:dyDescent="0.2">
      <c r="A39" s="3" t="s">
        <v>8</v>
      </c>
      <c r="B39" s="3" t="s">
        <v>96</v>
      </c>
      <c r="C39" s="3">
        <v>0.1</v>
      </c>
      <c r="D39" s="3" t="s">
        <v>97</v>
      </c>
      <c r="E39" s="3"/>
      <c r="F39" s="3"/>
    </row>
    <row r="40" spans="1:6" x14ac:dyDescent="0.2">
      <c r="A40" s="3" t="s">
        <v>8</v>
      </c>
      <c r="B40" s="3" t="s">
        <v>46</v>
      </c>
      <c r="C40" s="3">
        <v>0.1</v>
      </c>
      <c r="D40" s="3" t="s">
        <v>81</v>
      </c>
      <c r="E40" s="3"/>
      <c r="F40" s="3"/>
    </row>
    <row r="41" spans="1:6" x14ac:dyDescent="0.2">
      <c r="A41" s="3" t="s">
        <v>9</v>
      </c>
      <c r="B41" s="3" t="s">
        <v>49</v>
      </c>
      <c r="C41" s="3">
        <v>0.8</v>
      </c>
      <c r="D41" s="3" t="s">
        <v>70</v>
      </c>
      <c r="E41" s="3"/>
      <c r="F41" s="3"/>
    </row>
    <row r="42" spans="1:6" x14ac:dyDescent="0.2">
      <c r="A42" s="3" t="s">
        <v>9</v>
      </c>
      <c r="B42" s="3" t="s">
        <v>50</v>
      </c>
      <c r="C42" s="3">
        <v>0.4</v>
      </c>
      <c r="D42" s="3" t="s">
        <v>70</v>
      </c>
      <c r="E42" s="3"/>
      <c r="F42" s="3"/>
    </row>
    <row r="43" spans="1:6" x14ac:dyDescent="0.2">
      <c r="A43" s="3" t="s">
        <v>9</v>
      </c>
      <c r="B43" s="3" t="s">
        <v>51</v>
      </c>
      <c r="C43" s="3">
        <v>0.4</v>
      </c>
      <c r="D43" s="3" t="s">
        <v>70</v>
      </c>
      <c r="E43" s="3"/>
      <c r="F43" s="3"/>
    </row>
    <row r="44" spans="1:6" x14ac:dyDescent="0.2">
      <c r="A44" s="3" t="s">
        <v>9</v>
      </c>
      <c r="B44" s="3" t="s">
        <v>88</v>
      </c>
      <c r="C44" s="3">
        <v>0.52</v>
      </c>
      <c r="D44" s="3" t="s">
        <v>89</v>
      </c>
      <c r="E44" s="3" t="s">
        <v>111</v>
      </c>
      <c r="F44" s="3"/>
    </row>
    <row r="45" spans="1:6" x14ac:dyDescent="0.2">
      <c r="A45" s="3" t="s">
        <v>10</v>
      </c>
      <c r="B45" s="3" t="s">
        <v>52</v>
      </c>
      <c r="C45" s="3">
        <v>10</v>
      </c>
      <c r="D45" s="3" t="s">
        <v>70</v>
      </c>
      <c r="E45" s="3"/>
      <c r="F45" s="3"/>
    </row>
    <row r="46" spans="1:6" x14ac:dyDescent="0.2">
      <c r="A46" s="3" t="s">
        <v>10</v>
      </c>
      <c r="B46" s="3" t="s">
        <v>53</v>
      </c>
      <c r="C46" s="3">
        <v>0</v>
      </c>
      <c r="D46" s="3" t="s">
        <v>70</v>
      </c>
      <c r="E46" s="3"/>
      <c r="F46" s="3"/>
    </row>
    <row r="47" spans="1:6" x14ac:dyDescent="0.2">
      <c r="A47" s="3" t="s">
        <v>10</v>
      </c>
      <c r="B47" s="3" t="s">
        <v>54</v>
      </c>
      <c r="C47" s="3">
        <v>1000</v>
      </c>
      <c r="D47" s="3" t="s">
        <v>70</v>
      </c>
      <c r="E47" s="3"/>
      <c r="F47" s="3"/>
    </row>
    <row r="48" spans="1:6" x14ac:dyDescent="0.2">
      <c r="A48" s="3" t="s">
        <v>10</v>
      </c>
      <c r="B48" s="3" t="s">
        <v>55</v>
      </c>
      <c r="C48" s="3">
        <v>150</v>
      </c>
      <c r="D48" s="3" t="s">
        <v>70</v>
      </c>
      <c r="E48" s="3"/>
      <c r="F48" s="3"/>
    </row>
    <row r="49" spans="1:6" x14ac:dyDescent="0.2">
      <c r="A49" s="3" t="s">
        <v>10</v>
      </c>
      <c r="B49" s="3" t="s">
        <v>56</v>
      </c>
      <c r="C49" s="3">
        <v>80</v>
      </c>
      <c r="D49" s="3" t="s">
        <v>70</v>
      </c>
      <c r="E49" s="3"/>
      <c r="F49" s="3"/>
    </row>
    <row r="50" spans="1:6" x14ac:dyDescent="0.2">
      <c r="A50" s="3" t="s">
        <v>11</v>
      </c>
      <c r="B50" s="3" t="s">
        <v>57</v>
      </c>
      <c r="C50" s="3" t="s">
        <v>68</v>
      </c>
      <c r="D50" s="3" t="s">
        <v>70</v>
      </c>
      <c r="E50" s="3"/>
      <c r="F50" s="3"/>
    </row>
    <row r="51" spans="1:6" x14ac:dyDescent="0.2">
      <c r="A51" s="3" t="s">
        <v>12</v>
      </c>
      <c r="B51" s="3" t="s">
        <v>58</v>
      </c>
      <c r="C51" s="3">
        <v>1.6</v>
      </c>
      <c r="D51" s="3" t="s">
        <v>82</v>
      </c>
      <c r="E51" s="3"/>
      <c r="F51" s="3"/>
    </row>
    <row r="52" spans="1:6" x14ac:dyDescent="0.2">
      <c r="A52" s="3" t="s">
        <v>12</v>
      </c>
      <c r="B52" s="3" t="s">
        <v>59</v>
      </c>
      <c r="C52" s="3">
        <v>50</v>
      </c>
      <c r="D52" s="3" t="s">
        <v>83</v>
      </c>
      <c r="E52" s="3"/>
      <c r="F52" s="3"/>
    </row>
    <row r="53" spans="1:6" x14ac:dyDescent="0.2">
      <c r="A53" s="3" t="s">
        <v>12</v>
      </c>
      <c r="B53" s="3" t="s">
        <v>60</v>
      </c>
      <c r="C53" s="3">
        <v>50</v>
      </c>
      <c r="D53" s="3" t="s">
        <v>84</v>
      </c>
      <c r="E53" s="3"/>
      <c r="F53" s="3"/>
    </row>
    <row r="54" spans="1:6" x14ac:dyDescent="0.2">
      <c r="A54" s="3" t="s">
        <v>12</v>
      </c>
      <c r="B54" s="3" t="s">
        <v>61</v>
      </c>
      <c r="C54" s="3">
        <v>1.4999999999999999E-2</v>
      </c>
      <c r="D54" s="3" t="s">
        <v>85</v>
      </c>
      <c r="E54" s="3"/>
      <c r="F54" s="3"/>
    </row>
    <row r="55" spans="1:6" x14ac:dyDescent="0.2">
      <c r="A55" s="3" t="s">
        <v>12</v>
      </c>
      <c r="B55" s="3" t="s">
        <v>62</v>
      </c>
      <c r="C55" s="3">
        <v>7.2400000000000006E-2</v>
      </c>
      <c r="D55" s="3" t="s">
        <v>86</v>
      </c>
      <c r="E55" s="3" t="s">
        <v>110</v>
      </c>
      <c r="F55" s="3"/>
    </row>
    <row r="56" spans="1:6" x14ac:dyDescent="0.2">
      <c r="A56" s="3" t="s">
        <v>12</v>
      </c>
      <c r="B56" s="3" t="s">
        <v>63</v>
      </c>
      <c r="C56" s="3">
        <v>500</v>
      </c>
      <c r="D56" s="3" t="s">
        <v>70</v>
      </c>
      <c r="E56" s="3"/>
      <c r="F56" s="3"/>
    </row>
    <row r="57" spans="1:6" x14ac:dyDescent="0.2">
      <c r="A57" s="3" t="s">
        <v>12</v>
      </c>
      <c r="B57" s="3" t="s">
        <v>64</v>
      </c>
      <c r="C57" s="3" t="s">
        <v>69</v>
      </c>
      <c r="D57" s="3" t="s">
        <v>70</v>
      </c>
      <c r="E57" s="3"/>
      <c r="F57" s="3"/>
    </row>
    <row r="58" spans="1:6" x14ac:dyDescent="0.2">
      <c r="A58" s="3" t="s">
        <v>12</v>
      </c>
      <c r="B58" s="3" t="s">
        <v>65</v>
      </c>
      <c r="C58" s="3" t="s">
        <v>69</v>
      </c>
      <c r="D58" s="3" t="s">
        <v>70</v>
      </c>
      <c r="E58" s="3"/>
      <c r="F58" s="3"/>
    </row>
    <row r="59" spans="1:6" x14ac:dyDescent="0.2">
      <c r="A59" s="3" t="s">
        <v>12</v>
      </c>
      <c r="B59" s="3" t="s">
        <v>66</v>
      </c>
      <c r="C59" s="3">
        <v>24</v>
      </c>
      <c r="D59" s="3" t="s">
        <v>70</v>
      </c>
      <c r="E59" s="3"/>
      <c r="F59" s="3"/>
    </row>
    <row r="60" spans="1:6" x14ac:dyDescent="0.2">
      <c r="A60" s="3" t="s">
        <v>13</v>
      </c>
      <c r="B60" s="3" t="s">
        <v>67</v>
      </c>
      <c r="C60" s="3">
        <v>25</v>
      </c>
      <c r="D60" s="3" t="s">
        <v>87</v>
      </c>
      <c r="E60" s="3"/>
      <c r="F6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Rebecca Hartwell</cp:lastModifiedBy>
  <dcterms:created xsi:type="dcterms:W3CDTF">2025-12-15T16:36:57Z</dcterms:created>
  <dcterms:modified xsi:type="dcterms:W3CDTF">2026-05-12T07:17:54Z</dcterms:modified>
</cp:coreProperties>
</file>